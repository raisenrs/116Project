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Tasks" sheetId="1" r:id="rId1"/>
    <sheet name="Developer List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<sst xmlns="http://schemas.openxmlformats.org/spreadsheetml/2006/main" count="110" uniqueCount="74">
  <si>
    <t>Student Name</t>
  </si>
  <si>
    <t>Student ID</t>
  </si>
  <si>
    <t>Task</t>
  </si>
  <si>
    <t>Description</t>
  </si>
  <si>
    <t>Milestone</t>
  </si>
  <si>
    <t>Points</t>
  </si>
  <si>
    <t>Reviewer</t>
  </si>
  <si>
    <t>Eljan Abbasli</t>
  </si>
  <si>
    <t>Cell class hierarchy</t>
  </si>
  <si>
    <t>Made the base Cell class and other classes using inheritance.</t>
  </si>
  <si>
    <t>M1</t>
  </si>
  <si>
    <t>Duru,Atakan,Utku</t>
  </si>
  <si>
    <t>Zone subclasses</t>
  </si>
  <si>
    <t>IAdded housing, industrial and commercial zones.</t>
  </si>
  <si>
    <t>Duru Şenel</t>
  </si>
  <si>
    <t>Utility providers</t>
  </si>
  <si>
    <t>Added electricity, water and internet utility buildings.</t>
  </si>
  <si>
    <t>Eljan,Atakan,Utku</t>
  </si>
  <si>
    <t>BFS utility distribution</t>
  </si>
  <si>
    <t>Made utilities spread through roads using BFS.</t>
  </si>
  <si>
    <t>M2</t>
  </si>
  <si>
    <t>Utku Devrim Derse</t>
  </si>
  <si>
    <t>Service buildings</t>
  </si>
  <si>
    <t>Added police, hospital and school coverage areas.</t>
  </si>
  <si>
    <t>Eljan,Atakan,Duru</t>
  </si>
  <si>
    <t>CityMap / file parser</t>
  </si>
  <si>
    <t>Made a CityMap class to read map files.</t>
  </si>
  <si>
    <t>Atakan Yılmaz</t>
  </si>
  <si>
    <t>Resource pooling &amp; distribution</t>
  </si>
  <si>
    <t>Added resource sharing between city zones.</t>
  </si>
  <si>
    <t>Utku,Eljan,Duru</t>
  </si>
  <si>
    <t>Tick loop &amp; output formatting</t>
  </si>
  <si>
    <t>Wrote the main simulation loop.</t>
  </si>
  <si>
    <t>M3</t>
  </si>
  <si>
    <t>SE116ConfigurationException</t>
  </si>
  <si>
    <t>Added custom exceptions for invalid inputs.</t>
  </si>
  <si>
    <t>JAR packaging &amp; manifest</t>
  </si>
  <si>
    <t>Built the project into a runnable JAR file.</t>
  </si>
  <si>
    <t>Project report</t>
  </si>
  <si>
    <t>Wrote the project report and formatted it as PDF.</t>
  </si>
  <si>
    <t>Testing &amp; debugging</t>
  </si>
  <si>
    <t>Tested different map cases and edge cases.</t>
  </si>
  <si>
    <t>Section</t>
  </si>
  <si>
    <t>Email</t>
  </si>
  <si>
    <t>Total Points</t>
  </si>
  <si>
    <t>Team Average</t>
  </si>
  <si>
    <t>Contribution %</t>
  </si>
  <si>
    <t>20240602089</t>
  </si>
  <si>
    <t>SEC-1</t>
  </si>
  <si>
    <t>eljan.abbasli@std.ieu.edu.tr</t>
  </si>
  <si>
    <t>20250601210</t>
  </si>
  <si>
    <t>duru.senel@std.ieu.edu.tr</t>
  </si>
  <si>
    <t>20220601018</t>
  </si>
  <si>
    <t>utku.derse@std.ieu.edu.tr</t>
  </si>
  <si>
    <t>20210602065</t>
  </si>
  <si>
    <t>atakan.yilmaz@std.ieu.edu.tr</t>
  </si>
  <si>
    <t>TEAM TOTAL</t>
  </si>
  <si>
    <t>HOW TO FILL THIS TPS FILE</t>
  </si>
  <si>
    <t/>
  </si>
  <si>
    <t>1. Replace 'Raisen', 'Teammate B/C/D' with your real names and student IDs.</t>
  </si>
  <si>
    <t>2. Replace section numbers and email addresses.</t>
  </si>
  <si>
    <t>3. Update 'Reviewer' column — each task must be reviewed by a DIFFERENT team member.</t>
  </si>
  <si>
    <t>4. Adjust 'Points' values honestly (0=trivial, 100=very hard). Most should be ~50.</t>
  </si>
  <si>
    <t>5. Points are relative — what matters is the ratio, not the absolute value.</t>
  </si>
  <si>
    <t>6. The Developer List sheet calculates Contribution % automatically.</t>
  </si>
  <si>
    <t>7. Make sure total contribution is balanced — don't let one person do everything.</t>
  </si>
  <si>
    <t>8. IMPORTANT: If Developer List is empty, you get ZERO on TPS!</t>
  </si>
  <si>
    <t>CONTRIBUTION FORMULA:</t>
  </si>
  <si>
    <t xml:space="preserve">  contribution% = (your points / team average) * 100</t>
  </si>
  <si>
    <t xml:space="preserve">  Final grade = Project grade * (contribution% / 100)</t>
  </si>
  <si>
    <t>MILESTONES:</t>
  </si>
  <si>
    <t xml:space="preserve">  M1 = Core class design (Cell hierarchy, Zone levels)</t>
  </si>
  <si>
    <t xml:space="preserve">  M2 = Simulation logic (BFS, services, resource flow)</t>
  </si>
  <si>
    <t xml:space="preserve">  M3 = Final integration, testing, JAR, report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</si>
</sst>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&quot;%&quot;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8" borderId="5">
      <alignment vertical="center"/>
    </xf>
    <xf numFmtId="0" fontId="15" fillId="9" borderId="6">
      <alignment vertical="center"/>
    </xf>
    <xf numFmtId="0" fontId="16" fillId="9" borderId="5">
      <alignment vertical="center"/>
    </xf>
    <xf numFmtId="0" fontId="17" fillId="10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19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178" fontId="4" fillId="6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5" borderId="1" xfId="0" applyFont="1" applyFill="1" applyBorder="1" applyAlignment="1">
      <alignment horizontal="left" vertical="top" wrapText="1"/>
    </xf>
    <xf numFmtId="0" fontId="4" fillId="5" borderId="1" xfId="0" applyNumberFormat="1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NumberFormat="1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J4" sqref="J4"/>
    </sheetView>
  </sheetViews>
  <sheetFormatPr defaultColWidth="9" defaultRowHeight="15" outlineLevelCol="6"/>
  <cols>
    <col min="1" max="1" width="20" customWidth="1"/>
    <col min="2" max="2" width="15" customWidth="1"/>
    <col min="3" max="3" width="28" customWidth="1"/>
    <col min="4" max="4" width="60" customWidth="1"/>
    <col min="5" max="5" width="12" customWidth="1"/>
    <col min="6" max="6" width="9" customWidth="1"/>
    <col min="7" max="7" width="22" customWidth="1"/>
  </cols>
  <sheetData>
    <row r="1" ht="22" customHeight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ht="45" customHeight="1" spans="1:7">
      <c r="A2" s="13" t="s">
        <v>7</v>
      </c>
      <c r="B2" s="14">
        <v>20240602089</v>
      </c>
      <c r="C2" s="13" t="s">
        <v>8</v>
      </c>
      <c r="D2" s="13" t="s">
        <v>9</v>
      </c>
      <c r="E2" s="15" t="s">
        <v>10</v>
      </c>
      <c r="F2" s="15">
        <v>55</v>
      </c>
      <c r="G2" s="13" t="s">
        <v>11</v>
      </c>
    </row>
    <row r="3" ht="45" customHeight="1" spans="1:7">
      <c r="A3" s="16" t="s">
        <v>7</v>
      </c>
      <c r="B3" s="17">
        <v>20240602089</v>
      </c>
      <c r="C3" s="16" t="s">
        <v>12</v>
      </c>
      <c r="D3" s="16" t="s">
        <v>13</v>
      </c>
      <c r="E3" s="18" t="s">
        <v>10</v>
      </c>
      <c r="F3" s="18">
        <v>60</v>
      </c>
      <c r="G3" s="16" t="s">
        <v>11</v>
      </c>
    </row>
    <row r="4" ht="45" customHeight="1" spans="1:7">
      <c r="A4" s="13" t="s">
        <v>14</v>
      </c>
      <c r="B4" s="14">
        <v>20250601210</v>
      </c>
      <c r="C4" s="13" t="s">
        <v>15</v>
      </c>
      <c r="D4" s="13" t="s">
        <v>16</v>
      </c>
      <c r="E4" s="15" t="s">
        <v>10</v>
      </c>
      <c r="F4" s="15">
        <v>45</v>
      </c>
      <c r="G4" s="13" t="s">
        <v>17</v>
      </c>
    </row>
    <row r="5" ht="45" customHeight="1" spans="1:7">
      <c r="A5" s="16" t="s">
        <v>14</v>
      </c>
      <c r="B5" s="17">
        <v>20250601210</v>
      </c>
      <c r="C5" s="16" t="s">
        <v>18</v>
      </c>
      <c r="D5" s="16" t="s">
        <v>19</v>
      </c>
      <c r="E5" s="18" t="s">
        <v>20</v>
      </c>
      <c r="F5" s="18">
        <v>65</v>
      </c>
      <c r="G5" s="16" t="s">
        <v>17</v>
      </c>
    </row>
    <row r="6" ht="45" customHeight="1" spans="1:7">
      <c r="A6" s="13" t="s">
        <v>21</v>
      </c>
      <c r="B6" s="14">
        <v>20220601018</v>
      </c>
      <c r="C6" s="13" t="s">
        <v>22</v>
      </c>
      <c r="D6" s="13" t="s">
        <v>23</v>
      </c>
      <c r="E6" s="15" t="s">
        <v>10</v>
      </c>
      <c r="F6" s="15">
        <v>45</v>
      </c>
      <c r="G6" s="13" t="s">
        <v>24</v>
      </c>
    </row>
    <row r="7" ht="45" customHeight="1" spans="1:7">
      <c r="A7" s="16" t="s">
        <v>21</v>
      </c>
      <c r="B7" s="17">
        <v>20220601018</v>
      </c>
      <c r="C7" s="16" t="s">
        <v>25</v>
      </c>
      <c r="D7" s="16" t="s">
        <v>26</v>
      </c>
      <c r="E7" s="18" t="s">
        <v>20</v>
      </c>
      <c r="F7" s="18">
        <v>55</v>
      </c>
      <c r="G7" s="16" t="s">
        <v>24</v>
      </c>
    </row>
    <row r="8" ht="45" customHeight="1" spans="1:7">
      <c r="A8" s="13" t="s">
        <v>27</v>
      </c>
      <c r="B8" s="14">
        <v>20210602065</v>
      </c>
      <c r="C8" s="13" t="s">
        <v>28</v>
      </c>
      <c r="D8" s="13" t="s">
        <v>29</v>
      </c>
      <c r="E8" s="15" t="s">
        <v>20</v>
      </c>
      <c r="F8" s="15">
        <v>55</v>
      </c>
      <c r="G8" s="13" t="s">
        <v>30</v>
      </c>
    </row>
    <row r="9" ht="45" customHeight="1" spans="1:7">
      <c r="A9" s="16" t="s">
        <v>27</v>
      </c>
      <c r="B9" s="17">
        <v>20210602065</v>
      </c>
      <c r="C9" s="16" t="s">
        <v>31</v>
      </c>
      <c r="D9" s="16" t="s">
        <v>32</v>
      </c>
      <c r="E9" s="18" t="s">
        <v>33</v>
      </c>
      <c r="F9" s="18">
        <v>50</v>
      </c>
      <c r="G9" s="16" t="s">
        <v>30</v>
      </c>
    </row>
    <row r="10" ht="45" customHeight="1" spans="1:7">
      <c r="A10" s="13" t="s">
        <v>7</v>
      </c>
      <c r="B10" s="14">
        <v>20240602089</v>
      </c>
      <c r="C10" s="13" t="s">
        <v>34</v>
      </c>
      <c r="D10" s="13" t="s">
        <v>35</v>
      </c>
      <c r="E10" s="15" t="s">
        <v>10</v>
      </c>
      <c r="F10" s="15">
        <v>40</v>
      </c>
      <c r="G10" s="13" t="s">
        <v>11</v>
      </c>
    </row>
    <row r="11" ht="45" customHeight="1" spans="1:7">
      <c r="A11" s="16" t="s">
        <v>14</v>
      </c>
      <c r="B11" s="17">
        <v>20250601210</v>
      </c>
      <c r="C11" s="16" t="s">
        <v>36</v>
      </c>
      <c r="D11" s="16" t="s">
        <v>37</v>
      </c>
      <c r="E11" s="18" t="s">
        <v>33</v>
      </c>
      <c r="F11" s="18">
        <v>40</v>
      </c>
      <c r="G11" s="16" t="s">
        <v>17</v>
      </c>
    </row>
    <row r="12" ht="45" customHeight="1" spans="1:7">
      <c r="A12" s="13" t="s">
        <v>21</v>
      </c>
      <c r="B12" s="14">
        <v>20220601018</v>
      </c>
      <c r="C12" s="13" t="s">
        <v>38</v>
      </c>
      <c r="D12" s="13" t="s">
        <v>39</v>
      </c>
      <c r="E12" s="15" t="s">
        <v>33</v>
      </c>
      <c r="F12" s="15">
        <v>50</v>
      </c>
      <c r="G12" s="13" t="s">
        <v>24</v>
      </c>
    </row>
    <row r="13" ht="45" customHeight="1" spans="1:7">
      <c r="A13" s="16" t="s">
        <v>27</v>
      </c>
      <c r="B13" s="17">
        <v>20210602065</v>
      </c>
      <c r="C13" s="16" t="s">
        <v>40</v>
      </c>
      <c r="D13" s="16" t="s">
        <v>41</v>
      </c>
      <c r="E13" s="18" t="s">
        <v>33</v>
      </c>
      <c r="F13" s="18">
        <v>65</v>
      </c>
      <c r="G13" s="16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cols>
    <col min="1" max="1" width="22" customWidth="1"/>
    <col min="2" max="2" width="15" customWidth="1"/>
    <col min="3" max="3" width="10" customWidth="1"/>
    <col min="4" max="4" width="34" customWidth="1"/>
    <col min="5" max="6" width="14" customWidth="1"/>
    <col min="7" max="7" width="16" customWidth="1"/>
  </cols>
  <sheetData>
    <row r="1" ht="22" customHeight="1" spans="1:7">
      <c r="A1" s="5" t="s">
        <v>0</v>
      </c>
      <c r="B1" s="5" t="s">
        <v>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</row>
    <row r="2" ht="20" customHeight="1" spans="1:7">
      <c r="A2" s="6" t="s">
        <v>7</v>
      </c>
      <c r="B2" s="6" t="s">
        <v>47</v>
      </c>
      <c r="C2" s="7" t="s">
        <v>48</v>
      </c>
      <c r="D2" s="7" t="s">
        <v>49</v>
      </c>
      <c r="E2" s="7">
        <v>140</v>
      </c>
      <c r="F2" s="7">
        <v>156.2</v>
      </c>
      <c r="G2" s="8">
        <f>E2/F2*100</f>
        <v>89.628681177977</v>
      </c>
    </row>
    <row r="3" ht="20" customHeight="1" spans="1:7">
      <c r="A3" s="9" t="s">
        <v>14</v>
      </c>
      <c r="B3" s="9" t="s">
        <v>50</v>
      </c>
      <c r="C3" s="10" t="s">
        <v>48</v>
      </c>
      <c r="D3" s="10" t="s">
        <v>51</v>
      </c>
      <c r="E3" s="10">
        <v>150</v>
      </c>
      <c r="F3" s="10">
        <v>156.2</v>
      </c>
      <c r="G3" s="11">
        <f>E3/F3*100</f>
        <v>96.0307298335467</v>
      </c>
    </row>
    <row r="4" ht="20" customHeight="1" spans="1:7">
      <c r="A4" s="6" t="s">
        <v>21</v>
      </c>
      <c r="B4" s="6" t="s">
        <v>52</v>
      </c>
      <c r="C4" s="7" t="s">
        <v>48</v>
      </c>
      <c r="D4" s="7" t="s">
        <v>53</v>
      </c>
      <c r="E4" s="7">
        <v>150</v>
      </c>
      <c r="F4" s="7">
        <v>156.2</v>
      </c>
      <c r="G4" s="8">
        <f>E4/F4*100</f>
        <v>96.0307298335467</v>
      </c>
    </row>
    <row r="5" ht="20" customHeight="1" spans="1:7">
      <c r="A5" s="9" t="s">
        <v>27</v>
      </c>
      <c r="B5" s="9" t="s">
        <v>54</v>
      </c>
      <c r="C5" s="10" t="s">
        <v>48</v>
      </c>
      <c r="D5" s="10" t="s">
        <v>55</v>
      </c>
      <c r="E5" s="10">
        <v>185</v>
      </c>
      <c r="F5" s="10">
        <v>156.2</v>
      </c>
      <c r="G5" s="11">
        <f>E5/F5*100</f>
        <v>118.437900128041</v>
      </c>
    </row>
    <row r="6" spans="1:7">
      <c r="A6" s="12" t="s">
        <v>56</v>
      </c>
      <c r="E6" s="12">
        <f>SUM(E2:E5)</f>
        <v>625</v>
      </c>
      <c r="F6" s="12">
        <v>156.2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A1" sqref="A1"/>
    </sheetView>
  </sheetViews>
  <sheetFormatPr defaultColWidth="9" defaultRowHeight="15"/>
  <cols>
    <col min="1" max="1" width="90" customWidth="1"/>
  </cols>
  <sheetData>
    <row r="1" ht="18" customHeight="1" spans="1:1">
      <c r="A1" s="1" t="s">
        <v>57</v>
      </c>
    </row>
    <row r="2" ht="18" customHeight="1" spans="1:1">
      <c r="A2" s="2" t="s">
        <v>58</v>
      </c>
    </row>
    <row r="3" ht="18" customHeight="1" spans="1:1">
      <c r="A3" s="2" t="s">
        <v>59</v>
      </c>
    </row>
    <row r="4" ht="18" customHeight="1" spans="1:1">
      <c r="A4" s="2" t="s">
        <v>60</v>
      </c>
    </row>
    <row r="5" ht="18" customHeight="1" spans="1:1">
      <c r="A5" s="2" t="s">
        <v>61</v>
      </c>
    </row>
    <row r="6" ht="18" customHeight="1" spans="1:1">
      <c r="A6" s="2" t="s">
        <v>62</v>
      </c>
    </row>
    <row r="7" ht="18" customHeight="1" spans="1:1">
      <c r="A7" s="2" t="s">
        <v>63</v>
      </c>
    </row>
    <row r="8" ht="18" customHeight="1" spans="1:1">
      <c r="A8" s="2" t="s">
        <v>64</v>
      </c>
    </row>
    <row r="9" ht="18" customHeight="1" spans="1:1">
      <c r="A9" s="2" t="s">
        <v>65</v>
      </c>
    </row>
    <row r="10" ht="18" customHeight="1" spans="1:1">
      <c r="A10" s="3" t="s">
        <v>66</v>
      </c>
    </row>
    <row r="11" ht="18" customHeight="1" spans="1:1">
      <c r="A11" s="2" t="s">
        <v>58</v>
      </c>
    </row>
    <row r="12" ht="18" customHeight="1" spans="1:1">
      <c r="A12" s="4" t="s">
        <v>67</v>
      </c>
    </row>
    <row r="13" ht="18" customHeight="1" spans="1:1">
      <c r="A13" s="2" t="s">
        <v>68</v>
      </c>
    </row>
    <row r="14" ht="18" customHeight="1" spans="1:1">
      <c r="A14" s="2" t="s">
        <v>69</v>
      </c>
    </row>
    <row r="15" ht="18" customHeight="1" spans="1:1">
      <c r="A15" s="2" t="s">
        <v>58</v>
      </c>
    </row>
    <row r="16" ht="18" customHeight="1" spans="1:1">
      <c r="A16" s="4" t="s">
        <v>70</v>
      </c>
    </row>
    <row r="17" ht="18" customHeight="1" spans="1:1">
      <c r="A17" s="2" t="s">
        <v>71</v>
      </c>
    </row>
    <row r="18" ht="18" customHeight="1" spans="1:1">
      <c r="A18" s="2" t="s">
        <v>72</v>
      </c>
    </row>
    <row r="19" ht="18" customHeight="1" spans="1:1">
      <c r="A19" s="2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Tasks</vt:lpstr>
      <vt:lpstr>Developer List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Raisen</cp:lastModifiedBy>
  <dcterms:created xsi:type="dcterms:W3CDTF">2026-05-21T14:31:00Z</dcterms:created>
  <dcterms:modified xsi:type="dcterms:W3CDTF">2026-05-21T16:12:46Z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155008EFD68F4C3E9668472F76674B6C_12</vt:lpwstr>
  </property>
  <property fmtid="{D5CDD505-2E9C-101B-9397-08002B2CF9AE}" pid="3" name="KSOProductBuildVer">
    <vt:lpwstr>1055-12.1.0.26372</vt:lpwstr>
  </property>
  <property fmtid="{D5CDD505-2E9C-101B-9397-08002B2CF9AE}" pid="4" name="CalculationRule">
    <vt:i4>0</vt:i4>
  </property>
</Properties>
</file>